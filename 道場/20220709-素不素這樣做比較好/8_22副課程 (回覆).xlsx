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89" yWindow="531" windowWidth="16106" windowHeight="7200" activeTab="1"/>
  </bookViews>
  <sheets>
    <sheet name="表單回應 1" sheetId="1" r:id="rId1"/>
    <sheet name="工作表1" sheetId="2" r:id="rId2"/>
  </sheets>
  <calcPr calcId="144525"/>
</workbook>
</file>

<file path=xl/calcChain.xml><?xml version="1.0" encoding="utf-8"?>
<calcChain xmlns="http://schemas.openxmlformats.org/spreadsheetml/2006/main">
  <c r="B56" i="2" l="1"/>
  <c r="B55" i="2"/>
  <c r="B54" i="2"/>
  <c r="B46" i="2"/>
  <c r="B45" i="2"/>
  <c r="B44" i="2"/>
  <c r="B29" i="2"/>
  <c r="B28" i="2"/>
  <c r="B27" i="2"/>
  <c r="C18" i="2"/>
  <c r="C19" i="2"/>
  <c r="C20" i="2"/>
  <c r="C17" i="2"/>
  <c r="C3" i="2"/>
  <c r="C4" i="2"/>
  <c r="C5" i="2"/>
  <c r="C6" i="2"/>
  <c r="C2" i="2"/>
</calcChain>
</file>

<file path=xl/sharedStrings.xml><?xml version="1.0" encoding="utf-8"?>
<sst xmlns="http://schemas.openxmlformats.org/spreadsheetml/2006/main" count="431" uniqueCount="172">
  <si>
    <t>時間戳記</t>
  </si>
  <si>
    <t>1. 與朋友聚餐，只有自己吃素食，您會如何與朋友一起聚餐？</t>
  </si>
  <si>
    <t>2. 父母將週末安排滿滿的補習/才藝，但自己沒有興趣，您會如何接受嗎？要如何與父母正向溝通？自己的心態如何轉化？</t>
  </si>
  <si>
    <t>3. 父母時常稱讚其他兄弟姊妹，常常比較自己與他人的差異，您有什麼感受？您會如何調整自己的心態？</t>
  </si>
  <si>
    <t>4. 同儕都穿名牌衫、拿蘋果手機，而自己都沒有，您會有什麼感受？</t>
  </si>
  <si>
    <t>5. 突如其來的罰單，您會怎麼想？</t>
  </si>
  <si>
    <t>6. 曾經讓您情緒低落的事情，或者情緒低落的時刻?</t>
  </si>
  <si>
    <t>7. 承上題，您當時是如何轉念的呢？</t>
  </si>
  <si>
    <t>8. 您是否願意被公開分享呢?</t>
  </si>
  <si>
    <t>9. 您的大名</t>
  </si>
  <si>
    <t>朋友會主動找素食餐廳或有素食餐點的餐廳，沒有素食餐點的就不參加</t>
  </si>
  <si>
    <t>敞開心胸與父母長談</t>
  </si>
  <si>
    <t>父母不會拿我跟任何人做比較</t>
  </si>
  <si>
    <t>知足感恩，有的用就好</t>
  </si>
  <si>
    <t>昭告天下，告訴親朋好友自己被開罰單</t>
  </si>
  <si>
    <t>先想著我就爛，用坦然的心境面對一切，時間久了就會豁然開朗了。</t>
  </si>
  <si>
    <t>是</t>
  </si>
  <si>
    <t>李文彰說反正只有他看得到</t>
  </si>
  <si>
    <t>鍋邊素</t>
  </si>
  <si>
    <t>虛心受教</t>
  </si>
  <si>
    <t>自我反省</t>
  </si>
  <si>
    <t>跟媽媽吵架的時候</t>
  </si>
  <si>
    <t>讓彼此冷靜</t>
  </si>
  <si>
    <t>願意，可屬名</t>
  </si>
  <si>
    <t>薛心妤</t>
  </si>
  <si>
    <t>在領導社團時和其他幹部有意見不合的地方</t>
  </si>
  <si>
    <t>讓自己趕快整理好情緒，去反省做錯的地方，並且改進</t>
  </si>
  <si>
    <t>願意，但不方便屬名</t>
  </si>
  <si>
    <t>付出心力仍得不到成果</t>
  </si>
  <si>
    <t>下次會更好，轉換方式去進行</t>
  </si>
  <si>
    <t>主動推薦好吃的素食餐廳</t>
  </si>
  <si>
    <t>後學覺得是不要有情緒出來，慢慢來調整自己，如果有問題可以商量，做好自己的本分，不要與他人計較，像我們有在修道，就包容一下這樣</t>
  </si>
  <si>
    <t>當作消災，做功德，下次注意就好</t>
  </si>
  <si>
    <t>之前洗客人時候，因為每個客人性質都不一樣，有的客人比較好，有的比較囉嗦一點，剛開始有坐著洗頭，有一次洗客人，頭髮很長，要坐著洗，不小心滴到客人的臉，這位客人比較囉嗦一點，就這樣導致情緒比較不好</t>
  </si>
  <si>
    <t>小心注意，萬一用到趕快用毛巾擦，要有服務態度，現場不要有情緒化，畢竟每個人不一樣，大家都是這樣來的，遇到的經驗</t>
  </si>
  <si>
    <t>葉姵均</t>
  </si>
  <si>
    <t>婉拒不參加</t>
  </si>
  <si>
    <t>考試成績沒達到自己訂的標準</t>
  </si>
  <si>
    <t>就是把不懂的地方問清楚</t>
  </si>
  <si>
    <t>不願意</t>
  </si>
  <si>
    <t>何唯甄</t>
  </si>
  <si>
    <t>不理會，做自己</t>
  </si>
  <si>
    <t>同事在我背後惡意言語傷害</t>
  </si>
  <si>
    <t>先反省自己言行舉止不洽當之處後改善，（因自己無意中的言行，有時會不自知的傷害到別人）</t>
  </si>
  <si>
    <t>上課去</t>
  </si>
  <si>
    <t>失去親友</t>
  </si>
  <si>
    <t>當下不懂得轉念，只一心盡量維持原本生活規律</t>
  </si>
  <si>
    <t>顏穗年</t>
  </si>
  <si>
    <t>請餐廳提供素食套餐</t>
  </si>
  <si>
    <t>冷戰抗議不去上課</t>
  </si>
  <si>
    <t>感到自卑</t>
  </si>
  <si>
    <t>人際關係出現問題</t>
  </si>
  <si>
    <t>一定是自己不夠好，努力向上</t>
  </si>
  <si>
    <t>找有準備素食的餐廳</t>
  </si>
  <si>
    <t>如果是自己想要，也剛好需要，那就定個目標，慢慢達成</t>
  </si>
  <si>
    <t>Ron</t>
  </si>
  <si>
    <t>跟同事相處不好，在工作上被針對，導致心情低落</t>
  </si>
  <si>
    <t>一開始確實很低落，可是回頭仔細想想是不是我什麼地方沒作好，做事不夠圓滿，導致被針對，轉念後的我做事更正向積極，縱使情況無改善，可是我的心情是快樂的，找出自己不足的地方，並且努力改進，讓人法喜快樂</t>
  </si>
  <si>
    <t>許智翔</t>
  </si>
  <si>
    <t>這個問題，後學依然還在改進當中🥲</t>
  </si>
  <si>
    <t>因為工作不熟悉，對自己越來越沒自信</t>
  </si>
  <si>
    <t>或許只是學的比較慢又或者學習時間太短吸收不了，透過遇到發生的事情，當作自己的經驗</t>
  </si>
  <si>
    <t>廖可姍</t>
  </si>
  <si>
    <t>展現自己的專長</t>
  </si>
  <si>
    <t>很衰，但下次會注意（還沒收過罰單）</t>
  </si>
  <si>
    <t>大學放榜</t>
  </si>
  <si>
    <t>不管學校如何，資源要自己爭取</t>
  </si>
  <si>
    <t>陳秀慧</t>
  </si>
  <si>
    <t>自己買</t>
  </si>
  <si>
    <t>出車禍</t>
  </si>
  <si>
    <t>很快就轉念了 人還在就好</t>
  </si>
  <si>
    <t>瑋昇</t>
  </si>
  <si>
    <t>更加努力，以期在未來能夠得到那些自己想得到的</t>
  </si>
  <si>
    <t>逆來順受</t>
  </si>
  <si>
    <t>即將離開家到外地</t>
  </si>
  <si>
    <t>也許跳脫舒適圈對自己的將來也是非常有幫助的</t>
  </si>
  <si>
    <t>朋友會選有素食餐點的餐廳；如果他們沒有特別想吃的餐廳，我才會推薦素食餐廳</t>
  </si>
  <si>
    <t>臭著臉去上課</t>
  </si>
  <si>
    <t>不理會或受教要看當時的心情</t>
  </si>
  <si>
    <t>自己盡力去完成某件事，但別人仍不滿意</t>
  </si>
  <si>
    <t>如果他人對我所做的有建議就虛心受教下次改進；如果只是單純責備沒有對我有幫助的話，就告訴自己不放在心上，因我能想到的都做了，無愧於心</t>
  </si>
  <si>
    <t>自己買素食餐點過去聚會</t>
  </si>
  <si>
    <t>考試高分跟父母分享，卻被說不要驕傲，考不好又會被罵說不認真</t>
  </si>
  <si>
    <t>之後不再跟父母分享</t>
  </si>
  <si>
    <t>謝婷詠</t>
  </si>
  <si>
    <t>平常心</t>
  </si>
  <si>
    <t>受到指責</t>
  </si>
  <si>
    <t>正常發洩，該生氣的生氣，該哭的哭</t>
  </si>
  <si>
    <t>陸晉匡</t>
  </si>
  <si>
    <t>被朋友無預警刪好友</t>
  </si>
  <si>
    <t>一開始非常難過，非常不能理解，後來想一想，依自己認識的這個朋友不是這樣的人，應該是有他的原因才會這麼做，有一天他願意講的時候就會講的，而後學就慢慢放下這件事了。</t>
  </si>
  <si>
    <t>吳雅蓓</t>
  </si>
  <si>
    <t>大概就是什麼事都用心在做成果卻不是想要的，心情就會不太好</t>
  </si>
  <si>
    <t>讓自己一個人靜一靜，抒發一下情緒，不急想著轉念，有時候情緒上來也是需要讓自己跟自己溝通一陣子的，這時候就盡量讓自己一個人好好的想想，思考一下，然後給自己一點的加油打氣就會好很多了。
不然其實也可以去看看比較弱勢的人他們都勇敢的努力的生活，我們是不是更應該加油一點</t>
  </si>
  <si>
    <t>自己認為的好意被他人誤解成不好的事情、當大難降臨時、當自己犯了無可挽回的錯時</t>
  </si>
  <si>
    <t>自己調整，任何事都是小事，靠著這些事磨練自己的心</t>
  </si>
  <si>
    <t>李宗祐</t>
  </si>
  <si>
    <t>會聽父母的想法，但與他們溝通不要比較。</t>
  </si>
  <si>
    <t>親人過世</t>
  </si>
  <si>
    <t>慢慢放開，告訴自己他們即將到更好的地方，我們之後會再見</t>
  </si>
  <si>
    <t>壓力大</t>
  </si>
  <si>
    <t>面對處理</t>
  </si>
  <si>
    <t>找葷素皆有的餐廳</t>
  </si>
  <si>
    <t>受父母責罵的時候</t>
  </si>
  <si>
    <t>因為是父母，所以會慢慢釋懷</t>
  </si>
  <si>
    <t>面對工作的龐大壓力</t>
  </si>
  <si>
    <t>坦然接受，並告訴自己明天會更好～☺️</t>
  </si>
  <si>
    <t>庠浩</t>
  </si>
  <si>
    <t>後三項皆有過，可能要看對象、場所及聚會性質。</t>
  </si>
  <si>
    <t>經驗上是後二者居多</t>
  </si>
  <si>
    <t>這次是前二者了，心清明的時候會為被稱讚的那位感到高興，情緒不佳時可能就會不理會了。</t>
  </si>
  <si>
    <t>當自己控制不了自己，去做違心之事時。</t>
  </si>
  <si>
    <t>這種情況下，後學很難轉念頭，因為錯在自己。頂多是在事後假如因為曾經有過這樣的做不好的事情的經驗而感到警惕，能夠避免自己再犯的話，也是會感謝曾經的自己。</t>
  </si>
  <si>
    <t>張瑞鴻</t>
  </si>
  <si>
    <t xml:space="preserve">  </t>
    <phoneticPr fontId="2" type="noConversion"/>
  </si>
  <si>
    <t>其他</t>
    <phoneticPr fontId="2" type="noConversion"/>
  </si>
  <si>
    <t>R9</t>
    <phoneticPr fontId="2" type="noConversion"/>
  </si>
  <si>
    <t>R10</t>
    <phoneticPr fontId="2" type="noConversion"/>
  </si>
  <si>
    <t>R16</t>
    <phoneticPr fontId="2" type="noConversion"/>
  </si>
  <si>
    <t>R25</t>
    <phoneticPr fontId="2" type="noConversion"/>
  </si>
  <si>
    <t>後三項皆有過，可能要看對象、場所及聚會性質</t>
  </si>
  <si>
    <t>R28</t>
    <phoneticPr fontId="2" type="noConversion"/>
  </si>
  <si>
    <t>R1</t>
    <phoneticPr fontId="2" type="noConversion"/>
  </si>
  <si>
    <t>忌妒甚至欺負</t>
  </si>
  <si>
    <t>R13</t>
    <phoneticPr fontId="2" type="noConversion"/>
  </si>
  <si>
    <t>R5</t>
    <phoneticPr fontId="2" type="noConversion"/>
  </si>
  <si>
    <t>R23</t>
    <phoneticPr fontId="2" type="noConversion"/>
  </si>
  <si>
    <t>R14</t>
    <phoneticPr fontId="2" type="noConversion"/>
  </si>
  <si>
    <t>這個問題，後學依然還在改進當中</t>
  </si>
  <si>
    <t>R12</t>
    <phoneticPr fontId="2" type="noConversion"/>
  </si>
  <si>
    <t>R18</t>
    <phoneticPr fontId="2" type="noConversion"/>
  </si>
  <si>
    <t>R15</t>
    <phoneticPr fontId="2" type="noConversion"/>
  </si>
  <si>
    <t>R17</t>
    <phoneticPr fontId="2" type="noConversion"/>
  </si>
  <si>
    <t>R21</t>
    <phoneticPr fontId="2" type="noConversion"/>
  </si>
  <si>
    <t>R11</t>
    <phoneticPr fontId="2" type="noConversion"/>
  </si>
  <si>
    <t>R3</t>
    <phoneticPr fontId="2" type="noConversion"/>
  </si>
  <si>
    <t>R6</t>
    <phoneticPr fontId="2" type="noConversion"/>
  </si>
  <si>
    <t>R7</t>
    <phoneticPr fontId="2" type="noConversion"/>
  </si>
  <si>
    <t>R4</t>
    <phoneticPr fontId="2" type="noConversion"/>
  </si>
  <si>
    <t>R19</t>
    <phoneticPr fontId="2" type="noConversion"/>
  </si>
  <si>
    <t>R26</t>
    <phoneticPr fontId="2" type="noConversion"/>
  </si>
  <si>
    <t>R2</t>
    <phoneticPr fontId="2" type="noConversion"/>
  </si>
  <si>
    <t>R8</t>
    <phoneticPr fontId="2" type="noConversion"/>
  </si>
  <si>
    <t>R24</t>
    <phoneticPr fontId="2" type="noConversion"/>
  </si>
  <si>
    <t>讓自己一個人靜一靜，抒發一下情緒，不急想著轉念，有時候情緒上來也是需要讓自己跟自己溝通一陣子的，這時候就盡量讓自己一個人好好的想想，思考一下，然後給自己一點的加油打氣就會好很多了。 不然其實也可以去看看比較弱勢的人他們都勇敢的努力的生活，我們是不是更應該加油一點</t>
  </si>
  <si>
    <t>V</t>
    <phoneticPr fontId="2" type="noConversion"/>
  </si>
  <si>
    <t>X</t>
    <phoneticPr fontId="2" type="noConversion"/>
  </si>
  <si>
    <t>R8</t>
    <phoneticPr fontId="2" type="noConversion"/>
  </si>
  <si>
    <t>R1</t>
    <phoneticPr fontId="2" type="noConversion"/>
  </si>
  <si>
    <t>R15</t>
    <phoneticPr fontId="2" type="noConversion"/>
  </si>
  <si>
    <t>R22</t>
    <phoneticPr fontId="2" type="noConversion"/>
  </si>
  <si>
    <r>
      <rPr>
        <sz val="10"/>
        <color rgb="FF000000"/>
        <rFont val="Arial"/>
        <family val="3"/>
        <charset val="136"/>
        <scheme val="minor"/>
      </rPr>
      <t>其他</t>
    </r>
    <phoneticPr fontId="2" type="noConversion"/>
  </si>
  <si>
    <r>
      <rPr>
        <sz val="10"/>
        <color rgb="FF000000"/>
        <rFont val="Arial"/>
        <family val="3"/>
        <charset val="136"/>
        <scheme val="minor"/>
      </rPr>
      <t>友會選有素食餐點的餐廳；如果他們沒有特別想吃的餐廳，我才會推薦素食餐廳</t>
    </r>
    <phoneticPr fontId="2" type="noConversion"/>
  </si>
  <si>
    <r>
      <t xml:space="preserve">2. </t>
    </r>
    <r>
      <rPr>
        <sz val="9"/>
        <color rgb="FF202124"/>
        <rFont val="Arial"/>
        <family val="3"/>
        <charset val="136"/>
        <scheme val="minor"/>
      </rPr>
      <t>父母將週末安排滿滿的補習</t>
    </r>
    <r>
      <rPr>
        <sz val="9"/>
        <color rgb="FF202124"/>
        <rFont val="Arial"/>
        <family val="2"/>
        <scheme val="minor"/>
      </rPr>
      <t>/</t>
    </r>
    <r>
      <rPr>
        <sz val="9"/>
        <color rgb="FF202124"/>
        <rFont val="Arial"/>
        <family val="3"/>
        <charset val="136"/>
        <scheme val="minor"/>
      </rPr>
      <t>才藝，但自己沒有興趣，您會如何接受嗎？要如何與父母正向溝通？自己的心態如何轉化？</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</si>
  <si>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</si>
  <si>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</si>
  <si>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</si>
  <si>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</si>
  <si>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</si>
  <si>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</si>
  <si>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</si>
  <si>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</si>
  <si>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</si>
  <si>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</si>
  <si>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</si>
  <si>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</si>
  <si>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r>
      <rPr>
        <sz val="10"/>
        <color rgb="FF000000"/>
        <rFont val="Arial"/>
        <family val="3"/>
        <charset val="136"/>
        <scheme val="minor"/>
      </rPr>
      <t>不屬名</t>
    </r>
    <phoneticPr fontId="2" type="noConversion"/>
  </si>
  <si>
    <t>4. 同儕都穿名牌衫、拿蘋果手機，而自己都沒有，您會有什麼感受？</t>
    <phoneticPr fontId="2" type="noConversion"/>
  </si>
  <si>
    <t>怨天尤人或者酸葡萄心態</t>
  </si>
  <si>
    <t>5.突如其來的罰單，您會怎麼想？</t>
    <phoneticPr fontId="2" type="noConversion"/>
  </si>
  <si>
    <t>覺得被針對，不抓別人只抓我</t>
  </si>
  <si>
    <t>怨天尤人</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</si>
</sst>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d/yyyy\ h:mm:ss"/>
  </numFmts>
  <fonts count="7" x14ac:knownFonts="1">
    <font>
      <sz val="10"/>
      <color rgb="FF000000"/>
      <name val="Arial"/>
    </font>
    <font>
      <sz val="10"/>
      <color theme="1"/>
      <name val="Arial"/>
    </font>
    <font>
      <sz val="9"/>
      <name val="細明體"/>
      <family val="3"/>
      <charset val="136"/>
    </font>
    <font>
      <sz val="10"/>
      <color theme="1"/>
      <name val="Arial"/>
      <family val="2"/>
    </font>
    <font>
      <sz val="9"/>
      <color rgb="FF202124"/>
      <name val="Arial"/>
      <family val="2"/>
      <scheme val="minor"/>
    </font>
    <font>
      <sz val="10"/>
      <color rgb="FF000000"/>
      <name val="Arial"/>
      <family val="3"/>
      <charset val="136"/>
      <scheme val="minor"/>
    </font>
    <font>
      <sz val="9"/>
      <color rgb="FF202124"/>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wrapText="1"/>
    </xf>
    <xf numFmtId="0" fontId="0" fillId="0" borderId="0" xfId="0" applyFont="1" applyAlignment="1">
      <alignment wrapText="1"/>
    </xf>
    <xf numFmtId="176" fontId="1" fillId="0" borderId="0" xfId="0" applyNumberFormat="1" applyFont="1" applyAlignment="1">
      <alignment wrapText="1"/>
    </xf>
    <xf numFmtId="0" fontId="3" fillId="0" borderId="0" xfId="0" applyFont="1" applyAlignment="1">
      <alignment wrapText="1"/>
    </xf>
    <xf numFmtId="0" fontId="4" fillId="0" borderId="0" xfId="0" applyFont="1" applyAlignment="1">
      <alignment wrapText="1"/>
    </xf>
    <xf numFmtId="10" fontId="4" fillId="0" borderId="0" xfId="0" applyNumberFormat="1" applyFont="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US" altLang="zh-TW" sz="1000"/>
              <a:t>1. </a:t>
            </a:r>
            <a:r>
              <a:rPr lang="zh-TW" altLang="en-US" sz="1000"/>
              <a:t>與朋友聚餐，只有自己吃素食，您會如何與朋友一起聚餐？</a:t>
            </a:r>
          </a:p>
        </c:rich>
      </c:tx>
      <c:layout/>
      <c:overlay val="0"/>
    </c:title>
    <c:autoTitleDeleted val="0"/>
    <c:view3D>
      <c:rotX val="30"/>
      <c:rotY val="0"/>
      <c:rAngAx val="0"/>
      <c:perspective val="30"/>
    </c:view3D>
    <c:floor>
      <c:thickness val="0"/>
    </c:floor>
    <c:sideWall>
      <c:thickness val="0"/>
    </c:sideWall>
    <c:backWall>
      <c:thickness val="0"/>
    </c:backWall>
    <c:plotArea>
      <c:layout/>
      <c:pie3DChart>
        <c:varyColors val="1"/>
        <c:ser>
          <c:idx val="0"/>
          <c:order val="0"/>
          <c:tx>
            <c:strRef>
              <c:f>工作表1!$C$1</c:f>
              <c:strCache>
                <c:ptCount val="1"/>
                <c:pt idx="0">
                  <c:v>28</c:v>
                </c:pt>
              </c:strCache>
            </c:strRef>
          </c:tx>
          <c:explosion val="25"/>
          <c:dLbls>
            <c:showLegendKey val="0"/>
            <c:showVal val="1"/>
            <c:showCatName val="0"/>
            <c:showSerName val="0"/>
            <c:showPercent val="0"/>
            <c:showBubbleSize val="0"/>
            <c:showLeaderLines val="1"/>
          </c:dLbls>
          <c:cat>
            <c:strRef>
              <c:f>工作表1!$A$2:$A$6</c:f>
              <c:strCache>
                <c:ptCount val="5"/>
                <c:pt idx="0">
                  <c:v>主動推薦好吃的素食餐廳</c:v>
                </c:pt>
                <c:pt idx="1">
                  <c:v>鍋邊素</c:v>
                </c:pt>
                <c:pt idx="2">
                  <c:v>自己買素食餐點過去聚會</c:v>
                </c:pt>
                <c:pt idx="3">
                  <c:v>婉拒不參加</c:v>
                </c:pt>
                <c:pt idx="4">
                  <c:v>其他</c:v>
                </c:pt>
              </c:strCache>
            </c:strRef>
          </c:cat>
          <c:val>
            <c:numRef>
              <c:f>工作表1!$C$2:$C$6</c:f>
              <c:numCache>
                <c:formatCode>0.00%</c:formatCode>
                <c:ptCount val="5"/>
                <c:pt idx="0">
                  <c:v>0.39285714285714285</c:v>
                </c:pt>
                <c:pt idx="1">
                  <c:v>0.25</c:v>
                </c:pt>
                <c:pt idx="2">
                  <c:v>7.1428571428571425E-2</c:v>
                </c:pt>
                <c:pt idx="3">
                  <c:v>7.1428571428571425E-2</c:v>
                </c:pt>
                <c:pt idx="4">
                  <c:v>0.21428571428571427</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a:lstStyle/>
        <a:p>
          <a:pPr>
            <a:defRPr sz="1000"/>
          </a:pPr>
          <a:endParaRPr lang="zh-TW"/>
        </a:p>
      </c:txPr>
    </c:title>
    <c:autoTitleDeleted val="0"/>
    <c:view3D>
      <c:rotX val="30"/>
      <c:rotY val="0"/>
      <c:rAngAx val="0"/>
      <c:perspective val="30"/>
    </c:view3D>
    <c:floor>
      <c:thickness val="0"/>
    </c:floor>
    <c:sideWall>
      <c:thickness val="0"/>
    </c:sideWall>
    <c:backWall>
      <c:thickness val="0"/>
    </c:backWall>
    <c:plotArea>
      <c:layout/>
      <c:pie3DChart>
        <c:varyColors val="1"/>
        <c:ser>
          <c:idx val="0"/>
          <c:order val="0"/>
          <c:tx>
            <c:strRef>
              <c:f>工作表1!$C$16</c:f>
              <c:strCache>
                <c:ptCount val="1"/>
                <c:pt idx="0">
                  <c:v>2. 父母將週末安排滿滿的補習/才藝，但自己沒有興趣，您會如何接受嗎？要如何與父母正向溝通？自己的心態如何轉化？</c:v>
                </c:pt>
              </c:strCache>
            </c:strRef>
          </c:tx>
          <c:explosion val="25"/>
          <c:dLbls>
            <c:showLegendKey val="0"/>
            <c:showVal val="1"/>
            <c:showCatName val="0"/>
            <c:showSerName val="0"/>
            <c:showPercent val="0"/>
            <c:showBubbleSize val="0"/>
            <c:showLeaderLines val="1"/>
          </c:dLbls>
          <c:cat>
            <c:strRef>
              <c:f>工作表1!$A$17:$A$20</c:f>
              <c:strCache>
                <c:ptCount val="4"/>
                <c:pt idx="0">
                  <c:v>敞開心胸與父母長談</c:v>
                </c:pt>
                <c:pt idx="1">
                  <c:v>臭著臉去上課</c:v>
                </c:pt>
                <c:pt idx="2">
                  <c:v>冷戰抗議不去上課</c:v>
                </c:pt>
                <c:pt idx="3">
                  <c:v>其他</c:v>
                </c:pt>
              </c:strCache>
            </c:strRef>
          </c:cat>
          <c:val>
            <c:numRef>
              <c:f>工作表1!$C$17:$C$20</c:f>
              <c:numCache>
                <c:formatCode>0.00%</c:formatCode>
                <c:ptCount val="4"/>
                <c:pt idx="0">
                  <c:v>0.8214285714285714</c:v>
                </c:pt>
                <c:pt idx="1">
                  <c:v>7.1428571428571425E-2</c:v>
                </c:pt>
                <c:pt idx="2">
                  <c:v>3.5714285714285712E-2</c:v>
                </c:pt>
                <c:pt idx="3">
                  <c:v>7.1428571428571425E-2</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a:lstStyle/>
        <a:p>
          <a:pPr>
            <a:defRPr sz="1000"/>
          </a:pPr>
          <a:endParaRPr lang="zh-TW"/>
        </a:p>
      </c:txPr>
    </c:title>
    <c:autoTitleDeleted val="0"/>
    <c:view3D>
      <c:rotX val="30"/>
      <c:rotY val="0"/>
      <c:rAngAx val="0"/>
      <c:perspective val="30"/>
    </c:view3D>
    <c:floor>
      <c:thickness val="0"/>
    </c:floor>
    <c:sideWall>
      <c:thickness val="0"/>
    </c:sideWall>
    <c:backWall>
      <c:thickness val="0"/>
    </c:backWall>
    <c:plotArea>
      <c:layout/>
      <c:pie3DChart>
        <c:varyColors val="1"/>
        <c:ser>
          <c:idx val="0"/>
          <c:order val="0"/>
          <c:tx>
            <c:strRef>
              <c:f>工作表1!$B$26</c:f>
              <c:strCache>
                <c:ptCount val="1"/>
                <c:pt idx="0">
                  <c:v>3. 父母時常稱讚其他兄弟姊妹，常常比較自己與他人的差異，您有什麼感受？您會如何調整自己的心態？</c:v>
                </c:pt>
              </c:strCache>
            </c:strRef>
          </c:tx>
          <c:explosion val="25"/>
          <c:dLbls>
            <c:showLegendKey val="0"/>
            <c:showVal val="1"/>
            <c:showCatName val="0"/>
            <c:showSerName val="0"/>
            <c:showPercent val="0"/>
            <c:showBubbleSize val="0"/>
            <c:showLeaderLines val="1"/>
          </c:dLbls>
          <c:cat>
            <c:strRef>
              <c:f>工作表1!$A$27:$A$29</c:f>
              <c:strCache>
                <c:ptCount val="3"/>
                <c:pt idx="0">
                  <c:v>不理會，做自己</c:v>
                </c:pt>
                <c:pt idx="1">
                  <c:v>虛心受教</c:v>
                </c:pt>
                <c:pt idx="2">
                  <c:v>其他</c:v>
                </c:pt>
              </c:strCache>
            </c:strRef>
          </c:cat>
          <c:val>
            <c:numRef>
              <c:f>工作表1!$B$27:$B$29</c:f>
              <c:numCache>
                <c:formatCode>0.00%</c:formatCode>
                <c:ptCount val="3"/>
                <c:pt idx="0">
                  <c:v>0.42857142857142855</c:v>
                </c:pt>
                <c:pt idx="1">
                  <c:v>0.35714285714285715</c:v>
                </c:pt>
                <c:pt idx="2">
                  <c:v>0.21428571428571427</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a:lstStyle/>
        <a:p>
          <a:pPr>
            <a:defRPr sz="1000"/>
          </a:pPr>
          <a:endParaRPr lang="zh-TW"/>
        </a:p>
      </c:txPr>
    </c:title>
    <c:autoTitleDeleted val="0"/>
    <c:view3D>
      <c:rotX val="30"/>
      <c:rotY val="0"/>
      <c:rAngAx val="0"/>
      <c:perspective val="30"/>
    </c:view3D>
    <c:floor>
      <c:thickness val="0"/>
    </c:floor>
    <c:sideWall>
      <c:thickness val="0"/>
    </c:sideWall>
    <c:backWall>
      <c:thickness val="0"/>
    </c:backWall>
    <c:plotArea>
      <c:layout/>
      <c:pie3DChart>
        <c:varyColors val="1"/>
        <c:ser>
          <c:idx val="0"/>
          <c:order val="0"/>
          <c:tx>
            <c:strRef>
              <c:f>工作表1!$B$43</c:f>
              <c:strCache>
                <c:ptCount val="1"/>
                <c:pt idx="0">
                  <c:v>4. 同儕都穿名牌衫、拿蘋果手機，而自己都沒有，您會有什麼感受？</c:v>
                </c:pt>
              </c:strCache>
            </c:strRef>
          </c:tx>
          <c:explosion val="25"/>
          <c:dLbls>
            <c:showLegendKey val="0"/>
            <c:showVal val="1"/>
            <c:showCatName val="0"/>
            <c:showSerName val="0"/>
            <c:showPercent val="0"/>
            <c:showBubbleSize val="0"/>
            <c:showLeaderLines val="1"/>
          </c:dLbls>
          <c:cat>
            <c:strRef>
              <c:f>工作表1!$A$44:$A$46</c:f>
              <c:strCache>
                <c:ptCount val="3"/>
                <c:pt idx="0">
                  <c:v>知足感恩，有的用就好</c:v>
                </c:pt>
                <c:pt idx="1">
                  <c:v>感到自卑</c:v>
                </c:pt>
                <c:pt idx="2">
                  <c:v>其他</c:v>
                </c:pt>
              </c:strCache>
            </c:strRef>
          </c:cat>
          <c:val>
            <c:numRef>
              <c:f>工作表1!$B$44:$B$46</c:f>
              <c:numCache>
                <c:formatCode>0.00%</c:formatCode>
                <c:ptCount val="3"/>
                <c:pt idx="0">
                  <c:v>0.7857142857142857</c:v>
                </c:pt>
                <c:pt idx="1">
                  <c:v>7.1428571428571425E-2</c:v>
                </c:pt>
                <c:pt idx="2">
                  <c:v>0.14285714285714285</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a:lstStyle/>
        <a:p>
          <a:pPr>
            <a:defRPr sz="1000"/>
          </a:pPr>
          <a:endParaRPr lang="zh-TW"/>
        </a:p>
      </c:txPr>
    </c:title>
    <c:autoTitleDeleted val="0"/>
    <c:view3D>
      <c:rotX val="30"/>
      <c:rotY val="0"/>
      <c:rAngAx val="0"/>
      <c:perspective val="30"/>
    </c:view3D>
    <c:floor>
      <c:thickness val="0"/>
    </c:floor>
    <c:sideWall>
      <c:thickness val="0"/>
    </c:sideWall>
    <c:backWall>
      <c:thickness val="0"/>
    </c:backWall>
    <c:plotArea>
      <c:layout/>
      <c:pie3DChart>
        <c:varyColors val="1"/>
        <c:ser>
          <c:idx val="0"/>
          <c:order val="0"/>
          <c:tx>
            <c:strRef>
              <c:f>工作表1!$B$53</c:f>
              <c:strCache>
                <c:ptCount val="1"/>
                <c:pt idx="0">
                  <c:v>5.突如其來的罰單，您會怎麼想？</c:v>
                </c:pt>
              </c:strCache>
            </c:strRef>
          </c:tx>
          <c:explosion val="25"/>
          <c:dLbls>
            <c:showLegendKey val="0"/>
            <c:showVal val="1"/>
            <c:showCatName val="0"/>
            <c:showSerName val="0"/>
            <c:showPercent val="0"/>
            <c:showBubbleSize val="0"/>
            <c:showLeaderLines val="1"/>
          </c:dLbls>
          <c:cat>
            <c:strRef>
              <c:f>工作表1!$A$54:$A$56</c:f>
              <c:strCache>
                <c:ptCount val="3"/>
                <c:pt idx="0">
                  <c:v>自我反省</c:v>
                </c:pt>
                <c:pt idx="1">
                  <c:v>昭告天下，告訴親朋好友自己被開罰單</c:v>
                </c:pt>
                <c:pt idx="2">
                  <c:v>其他</c:v>
                </c:pt>
              </c:strCache>
            </c:strRef>
          </c:cat>
          <c:val>
            <c:numRef>
              <c:f>工作表1!$B$54:$B$56</c:f>
              <c:numCache>
                <c:formatCode>0.00%</c:formatCode>
                <c:ptCount val="3"/>
                <c:pt idx="0">
                  <c:v>0.6785714285714286</c:v>
                </c:pt>
                <c:pt idx="1">
                  <c:v>0.17857142857142858</c:v>
                </c:pt>
                <c:pt idx="2">
                  <c:v>0.14285714285714285</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489858</xdr:colOff>
      <xdr:row>2</xdr:row>
      <xdr:rowOff>11830</xdr:rowOff>
    </xdr:from>
    <xdr:to>
      <xdr:col>9</xdr:col>
      <xdr:colOff>212273</xdr:colOff>
      <xdr:row>13</xdr:row>
      <xdr:rowOff>87086</xdr:rowOff>
    </xdr:to>
    <xdr:graphicFrame macro="">
      <xdr:nvGraphicFramePr>
        <xdr:cNvPr id="20" name="圖表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134415</xdr:colOff>
      <xdr:row>15</xdr:row>
      <xdr:rowOff>93473</xdr:rowOff>
    </xdr:from>
    <xdr:to>
      <xdr:col>9</xdr:col>
      <xdr:colOff>511628</xdr:colOff>
      <xdr:row>21</xdr:row>
      <xdr:rowOff>59870</xdr:rowOff>
    </xdr:to>
    <xdr:graphicFrame macro="">
      <xdr:nvGraphicFramePr>
        <xdr:cNvPr id="22" name="圖表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13725</xdr:colOff>
      <xdr:row>25</xdr:row>
      <xdr:rowOff>529376</xdr:rowOff>
    </xdr:from>
    <xdr:to>
      <xdr:col>9</xdr:col>
      <xdr:colOff>381001</xdr:colOff>
      <xdr:row>33</xdr:row>
      <xdr:rowOff>326570</xdr:rowOff>
    </xdr:to>
    <xdr:graphicFrame macro="">
      <xdr:nvGraphicFramePr>
        <xdr:cNvPr id="23" name="圖表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37862</xdr:colOff>
      <xdr:row>25</xdr:row>
      <xdr:rowOff>534582</xdr:rowOff>
    </xdr:from>
    <xdr:to>
      <xdr:col>9</xdr:col>
      <xdr:colOff>375557</xdr:colOff>
      <xdr:row>33</xdr:row>
      <xdr:rowOff>348343</xdr:rowOff>
    </xdr:to>
    <xdr:graphicFrame macro="">
      <xdr:nvGraphicFramePr>
        <xdr:cNvPr id="24" name="圖表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564163</xdr:colOff>
      <xdr:row>25</xdr:row>
      <xdr:rowOff>1130695</xdr:rowOff>
    </xdr:from>
    <xdr:to>
      <xdr:col>10</xdr:col>
      <xdr:colOff>239486</xdr:colOff>
      <xdr:row>35</xdr:row>
      <xdr:rowOff>54429</xdr:rowOff>
    </xdr:to>
    <xdr:graphicFrame macro="">
      <xdr:nvGraphicFramePr>
        <xdr:cNvPr id="25" name="圖表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9"/>
  <sheetViews>
    <sheetView topLeftCell="B1" workbookViewId="0">
      <pane ySplit="1" topLeftCell="A23" activePane="bottomLeft" state="frozen"/>
      <selection pane="bottomLeft" activeCell="C25" sqref="C25"/>
    </sheetView>
  </sheetViews>
  <sheetFormatPr defaultColWidth="15.4609375" defaultRowHeight="12.45" x14ac:dyDescent="0.3"/>
  <cols>
    <col min="1" max="1" width="17" style="2" bestFit="1" customWidth="1"/>
    <col min="2" max="2" width="15.4609375" style="2"/>
    <col min="3" max="11" width="11.84375" style="2" customWidth="1"/>
    <col min="12" max="16384" width="15.4609375" style="2"/>
  </cols>
  <sheetData>
    <row r="1" spans="1:11" ht="111.9" x14ac:dyDescent="0.3">
      <c r="A1" s="1" t="s">
        <v>0</v>
      </c>
      <c r="B1" s="1"/>
      <c r="C1" s="1" t="s">
        <v>1</v>
      </c>
      <c r="D1" s="1" t="s">
        <v>2</v>
      </c>
      <c r="E1" s="1" t="s">
        <v>3</v>
      </c>
      <c r="F1" s="1" t="s">
        <v>4</v>
      </c>
      <c r="G1" s="1" t="s">
        <v>5</v>
      </c>
      <c r="H1" s="1" t="s">
        <v>6</v>
      </c>
      <c r="I1" s="1" t="s">
        <v>7</v>
      </c>
      <c r="J1" s="1" t="s">
        <v>8</v>
      </c>
      <c r="K1" s="1" t="s">
        <v>9</v>
      </c>
    </row>
    <row r="2" spans="1:11" ht="74.599999999999994" x14ac:dyDescent="0.3">
      <c r="A2" s="3">
        <v>44421.80936525463</v>
      </c>
      <c r="B2" s="3"/>
      <c r="C2" s="1" t="s">
        <v>10</v>
      </c>
      <c r="D2" s="1" t="s">
        <v>11</v>
      </c>
      <c r="E2" s="1" t="s">
        <v>12</v>
      </c>
      <c r="F2" s="1" t="s">
        <v>13</v>
      </c>
      <c r="G2" s="1" t="s">
        <v>14</v>
      </c>
      <c r="H2" s="1" t="s">
        <v>15</v>
      </c>
      <c r="J2" s="1" t="s">
        <v>16</v>
      </c>
      <c r="K2" s="1" t="s">
        <v>17</v>
      </c>
    </row>
    <row r="3" spans="1:11" ht="24.9" x14ac:dyDescent="0.3">
      <c r="A3" s="3">
        <v>44422.531901736111</v>
      </c>
      <c r="B3" s="3"/>
      <c r="C3" s="1" t="s">
        <v>18</v>
      </c>
      <c r="D3" s="1" t="s">
        <v>11</v>
      </c>
      <c r="E3" s="1" t="s">
        <v>19</v>
      </c>
      <c r="F3" s="1" t="s">
        <v>13</v>
      </c>
      <c r="G3" s="1" t="s">
        <v>20</v>
      </c>
      <c r="H3" s="1" t="s">
        <v>21</v>
      </c>
      <c r="I3" s="1" t="s">
        <v>22</v>
      </c>
      <c r="J3" s="1" t="s">
        <v>23</v>
      </c>
      <c r="K3" s="1" t="s">
        <v>24</v>
      </c>
    </row>
    <row r="4" spans="1:11" ht="49.75" x14ac:dyDescent="0.3">
      <c r="A4" s="3">
        <v>44422.552285115744</v>
      </c>
      <c r="B4" s="3"/>
      <c r="C4" s="1" t="s">
        <v>18</v>
      </c>
      <c r="D4" s="1" t="s">
        <v>11</v>
      </c>
      <c r="E4" s="1" t="s">
        <v>19</v>
      </c>
      <c r="F4" s="1" t="s">
        <v>13</v>
      </c>
      <c r="G4" s="1" t="s">
        <v>20</v>
      </c>
      <c r="H4" s="1" t="s">
        <v>25</v>
      </c>
      <c r="I4" s="1" t="s">
        <v>26</v>
      </c>
      <c r="J4" s="1" t="s">
        <v>27</v>
      </c>
    </row>
    <row r="5" spans="1:11" ht="37.299999999999997" x14ac:dyDescent="0.3">
      <c r="A5" s="3">
        <v>44422.575593541667</v>
      </c>
      <c r="B5" s="3"/>
      <c r="C5" s="1" t="s">
        <v>18</v>
      </c>
      <c r="D5" s="1" t="s">
        <v>11</v>
      </c>
      <c r="E5" s="1" t="s">
        <v>19</v>
      </c>
      <c r="F5" s="1" t="s">
        <v>13</v>
      </c>
      <c r="G5" s="1" t="s">
        <v>20</v>
      </c>
      <c r="H5" s="1" t="s">
        <v>28</v>
      </c>
      <c r="I5" s="1" t="s">
        <v>29</v>
      </c>
      <c r="J5" s="1" t="s">
        <v>27</v>
      </c>
    </row>
    <row r="6" spans="1:11" ht="198.9" x14ac:dyDescent="0.3">
      <c r="A6" s="3">
        <v>44422.637081666668</v>
      </c>
      <c r="B6" s="3"/>
      <c r="C6" s="1" t="s">
        <v>30</v>
      </c>
      <c r="D6" s="1" t="s">
        <v>11</v>
      </c>
      <c r="E6" s="1" t="s">
        <v>31</v>
      </c>
      <c r="F6" s="1" t="s">
        <v>13</v>
      </c>
      <c r="G6" s="1" t="s">
        <v>32</v>
      </c>
      <c r="H6" s="1" t="s">
        <v>33</v>
      </c>
      <c r="I6" s="1" t="s">
        <v>34</v>
      </c>
      <c r="J6" s="1" t="s">
        <v>23</v>
      </c>
      <c r="K6" s="1" t="s">
        <v>35</v>
      </c>
    </row>
    <row r="7" spans="1:11" ht="37.299999999999997" x14ac:dyDescent="0.3">
      <c r="A7" s="3">
        <v>44422.794270775463</v>
      </c>
      <c r="B7" s="3"/>
      <c r="C7" s="1" t="s">
        <v>36</v>
      </c>
      <c r="D7" s="1" t="s">
        <v>11</v>
      </c>
      <c r="E7" s="1" t="s">
        <v>19</v>
      </c>
      <c r="F7" s="1" t="s">
        <v>13</v>
      </c>
      <c r="G7" s="1" t="s">
        <v>20</v>
      </c>
      <c r="H7" s="1" t="s">
        <v>37</v>
      </c>
      <c r="I7" s="1" t="s">
        <v>38</v>
      </c>
      <c r="J7" s="1" t="s">
        <v>39</v>
      </c>
      <c r="K7" s="1" t="s">
        <v>40</v>
      </c>
    </row>
    <row r="8" spans="1:11" ht="87" x14ac:dyDescent="0.3">
      <c r="A8" s="3">
        <v>44423.578967974536</v>
      </c>
      <c r="B8" s="3"/>
      <c r="C8" s="1" t="s">
        <v>30</v>
      </c>
      <c r="D8" s="1" t="s">
        <v>11</v>
      </c>
      <c r="E8" s="1" t="s">
        <v>41</v>
      </c>
      <c r="F8" s="1" t="s">
        <v>13</v>
      </c>
      <c r="G8" s="1" t="s">
        <v>20</v>
      </c>
      <c r="H8" s="1" t="s">
        <v>42</v>
      </c>
      <c r="I8" s="1" t="s">
        <v>43</v>
      </c>
      <c r="J8" s="1" t="s">
        <v>27</v>
      </c>
    </row>
    <row r="9" spans="1:11" ht="49.75" x14ac:dyDescent="0.3">
      <c r="A9" s="3">
        <v>44423.63065608796</v>
      </c>
      <c r="B9" s="3"/>
      <c r="C9" s="4" t="s">
        <v>114</v>
      </c>
      <c r="D9" s="1" t="s">
        <v>44</v>
      </c>
      <c r="E9" s="1" t="s">
        <v>41</v>
      </c>
      <c r="F9" s="1" t="s">
        <v>13</v>
      </c>
      <c r="G9" s="1" t="s">
        <v>20</v>
      </c>
      <c r="H9" s="1" t="s">
        <v>45</v>
      </c>
      <c r="I9" s="1" t="s">
        <v>46</v>
      </c>
      <c r="J9" s="1" t="s">
        <v>39</v>
      </c>
      <c r="K9" s="1" t="s">
        <v>47</v>
      </c>
    </row>
    <row r="10" spans="1:11" ht="37.299999999999997" x14ac:dyDescent="0.3">
      <c r="A10" s="3">
        <v>44423.651136631946</v>
      </c>
      <c r="B10" s="3"/>
      <c r="C10" s="1" t="s">
        <v>48</v>
      </c>
      <c r="D10" s="1" t="s">
        <v>49</v>
      </c>
      <c r="E10" s="1" t="s">
        <v>41</v>
      </c>
      <c r="F10" s="1" t="s">
        <v>50</v>
      </c>
      <c r="G10" s="1" t="s">
        <v>20</v>
      </c>
      <c r="H10" s="1" t="s">
        <v>51</v>
      </c>
      <c r="I10" s="1" t="s">
        <v>52</v>
      </c>
      <c r="J10" s="1" t="s">
        <v>39</v>
      </c>
    </row>
    <row r="11" spans="1:11" ht="62.15" x14ac:dyDescent="0.3">
      <c r="A11" s="3">
        <v>44423.653598807869</v>
      </c>
      <c r="B11" s="3"/>
      <c r="C11" s="1" t="s">
        <v>53</v>
      </c>
      <c r="D11" s="1" t="s">
        <v>11</v>
      </c>
      <c r="E11" s="1" t="s">
        <v>19</v>
      </c>
      <c r="F11" s="1" t="s">
        <v>54</v>
      </c>
      <c r="G11" s="1" t="s">
        <v>20</v>
      </c>
      <c r="J11" s="1" t="s">
        <v>23</v>
      </c>
      <c r="K11" s="1" t="s">
        <v>55</v>
      </c>
    </row>
    <row r="12" spans="1:11" ht="211.3" x14ac:dyDescent="0.3">
      <c r="A12" s="3">
        <v>44423.752206990743</v>
      </c>
      <c r="B12" s="3"/>
      <c r="C12" s="1" t="s">
        <v>30</v>
      </c>
      <c r="D12" s="1" t="s">
        <v>11</v>
      </c>
      <c r="E12" s="1" t="s">
        <v>19</v>
      </c>
      <c r="F12" s="1" t="s">
        <v>13</v>
      </c>
      <c r="G12" s="1" t="s">
        <v>20</v>
      </c>
      <c r="H12" s="1" t="s">
        <v>56</v>
      </c>
      <c r="I12" s="1" t="s">
        <v>57</v>
      </c>
      <c r="J12" s="1" t="s">
        <v>27</v>
      </c>
      <c r="K12" s="1" t="s">
        <v>58</v>
      </c>
    </row>
    <row r="13" spans="1:11" ht="87" x14ac:dyDescent="0.3">
      <c r="A13" s="3">
        <v>44423.806029907406</v>
      </c>
      <c r="B13" s="3"/>
      <c r="C13" s="1" t="s">
        <v>30</v>
      </c>
      <c r="D13" s="1" t="s">
        <v>11</v>
      </c>
      <c r="E13" s="1" t="s">
        <v>41</v>
      </c>
      <c r="F13" s="1" t="s">
        <v>59</v>
      </c>
      <c r="G13" s="1" t="s">
        <v>20</v>
      </c>
      <c r="H13" s="1" t="s">
        <v>60</v>
      </c>
      <c r="I13" s="1" t="s">
        <v>61</v>
      </c>
      <c r="J13" s="1" t="s">
        <v>23</v>
      </c>
      <c r="K13" s="1" t="s">
        <v>62</v>
      </c>
    </row>
    <row r="14" spans="1:11" ht="37.299999999999997" x14ac:dyDescent="0.3">
      <c r="A14" s="3">
        <v>44423.817719965278</v>
      </c>
      <c r="B14" s="3"/>
      <c r="C14" s="1" t="s">
        <v>30</v>
      </c>
      <c r="D14" s="1" t="s">
        <v>11</v>
      </c>
      <c r="E14" s="1" t="s">
        <v>63</v>
      </c>
      <c r="F14" s="1" t="s">
        <v>13</v>
      </c>
      <c r="G14" s="1" t="s">
        <v>64</v>
      </c>
      <c r="H14" s="1" t="s">
        <v>65</v>
      </c>
      <c r="I14" s="1" t="s">
        <v>66</v>
      </c>
      <c r="J14" s="1" t="s">
        <v>27</v>
      </c>
      <c r="K14" s="1" t="s">
        <v>67</v>
      </c>
    </row>
    <row r="15" spans="1:11" ht="37.299999999999997" x14ac:dyDescent="0.3">
      <c r="A15" s="3">
        <v>44423.940531643515</v>
      </c>
      <c r="B15" s="3"/>
      <c r="C15" s="1" t="s">
        <v>30</v>
      </c>
      <c r="D15" s="1" t="s">
        <v>11</v>
      </c>
      <c r="E15" s="1" t="s">
        <v>41</v>
      </c>
      <c r="F15" s="1" t="s">
        <v>68</v>
      </c>
      <c r="G15" s="1" t="s">
        <v>14</v>
      </c>
      <c r="H15" s="1" t="s">
        <v>69</v>
      </c>
      <c r="I15" s="1" t="s">
        <v>70</v>
      </c>
      <c r="J15" s="1" t="s">
        <v>27</v>
      </c>
      <c r="K15" s="1" t="s">
        <v>71</v>
      </c>
    </row>
    <row r="16" spans="1:11" ht="49.75" x14ac:dyDescent="0.3">
      <c r="A16" s="3">
        <v>44424.045681631949</v>
      </c>
      <c r="B16" s="3"/>
      <c r="C16" s="1" t="s">
        <v>18</v>
      </c>
      <c r="D16" s="1" t="s">
        <v>11</v>
      </c>
      <c r="E16" s="1" t="s">
        <v>41</v>
      </c>
      <c r="F16" s="1" t="s">
        <v>72</v>
      </c>
      <c r="G16" s="1" t="s">
        <v>73</v>
      </c>
      <c r="H16" s="1" t="s">
        <v>74</v>
      </c>
      <c r="I16" s="1" t="s">
        <v>75</v>
      </c>
      <c r="J16" s="1" t="s">
        <v>27</v>
      </c>
    </row>
    <row r="17" spans="1:11" ht="136.75" x14ac:dyDescent="0.3">
      <c r="A17" s="3">
        <v>44424.327796793979</v>
      </c>
      <c r="B17" s="3"/>
      <c r="C17" s="1" t="s">
        <v>76</v>
      </c>
      <c r="D17" s="1" t="s">
        <v>77</v>
      </c>
      <c r="E17" s="1" t="s">
        <v>78</v>
      </c>
      <c r="F17" s="1" t="s">
        <v>13</v>
      </c>
      <c r="G17" s="1" t="s">
        <v>14</v>
      </c>
      <c r="H17" s="1" t="s">
        <v>79</v>
      </c>
      <c r="I17" s="1" t="s">
        <v>80</v>
      </c>
      <c r="J17" s="1" t="s">
        <v>27</v>
      </c>
    </row>
    <row r="18" spans="1:11" ht="62.15" x14ac:dyDescent="0.3">
      <c r="A18" s="3">
        <v>44424.372769456022</v>
      </c>
      <c r="B18" s="3"/>
      <c r="C18" s="1" t="s">
        <v>81</v>
      </c>
      <c r="D18" s="1" t="s">
        <v>11</v>
      </c>
      <c r="E18" s="1" t="s">
        <v>41</v>
      </c>
      <c r="F18" s="1" t="s">
        <v>13</v>
      </c>
      <c r="G18" s="1" t="s">
        <v>20</v>
      </c>
      <c r="H18" s="1" t="s">
        <v>82</v>
      </c>
      <c r="I18" s="1" t="s">
        <v>83</v>
      </c>
      <c r="J18" s="1" t="s">
        <v>27</v>
      </c>
      <c r="K18" s="1" t="s">
        <v>84</v>
      </c>
    </row>
    <row r="19" spans="1:11" ht="37.299999999999997" x14ac:dyDescent="0.3">
      <c r="A19" s="3">
        <v>44424.656650636578</v>
      </c>
      <c r="B19" s="3"/>
      <c r="C19" s="1" t="s">
        <v>36</v>
      </c>
      <c r="D19" s="1" t="s">
        <v>11</v>
      </c>
      <c r="E19" s="1" t="s">
        <v>41</v>
      </c>
      <c r="F19" s="1" t="s">
        <v>13</v>
      </c>
      <c r="G19" s="1" t="s">
        <v>85</v>
      </c>
      <c r="H19" s="1" t="s">
        <v>86</v>
      </c>
      <c r="I19" s="1" t="s">
        <v>87</v>
      </c>
      <c r="J19" s="1" t="s">
        <v>23</v>
      </c>
      <c r="K19" s="1" t="s">
        <v>88</v>
      </c>
    </row>
    <row r="20" spans="1:11" ht="174" x14ac:dyDescent="0.3">
      <c r="A20" s="3">
        <v>44424.814665949074</v>
      </c>
      <c r="B20" s="3"/>
      <c r="C20" s="1" t="s">
        <v>30</v>
      </c>
      <c r="D20" s="1" t="s">
        <v>11</v>
      </c>
      <c r="E20" s="1" t="s">
        <v>41</v>
      </c>
      <c r="F20" s="1" t="s">
        <v>13</v>
      </c>
      <c r="G20" s="1" t="s">
        <v>20</v>
      </c>
      <c r="H20" s="1" t="s">
        <v>89</v>
      </c>
      <c r="I20" s="1" t="s">
        <v>90</v>
      </c>
      <c r="J20" s="1" t="s">
        <v>23</v>
      </c>
      <c r="K20" s="1" t="s">
        <v>91</v>
      </c>
    </row>
    <row r="21" spans="1:11" ht="37.299999999999997" x14ac:dyDescent="0.3">
      <c r="A21" s="3">
        <v>44424.83931851852</v>
      </c>
      <c r="B21" s="3"/>
      <c r="C21" s="1" t="s">
        <v>30</v>
      </c>
      <c r="D21" s="1" t="s">
        <v>11</v>
      </c>
      <c r="E21" s="1" t="s">
        <v>41</v>
      </c>
      <c r="F21" s="1" t="s">
        <v>13</v>
      </c>
      <c r="G21" s="1" t="s">
        <v>14</v>
      </c>
      <c r="J21" s="1" t="s">
        <v>39</v>
      </c>
    </row>
    <row r="22" spans="1:11" ht="273.45" x14ac:dyDescent="0.3">
      <c r="A22" s="3">
        <v>44424.869712754633</v>
      </c>
      <c r="B22" s="3"/>
      <c r="C22" s="1" t="s">
        <v>18</v>
      </c>
      <c r="D22" s="1" t="s">
        <v>77</v>
      </c>
      <c r="E22" s="1" t="s">
        <v>41</v>
      </c>
      <c r="F22" s="1" t="s">
        <v>13</v>
      </c>
      <c r="G22" s="1" t="s">
        <v>20</v>
      </c>
      <c r="H22" s="1" t="s">
        <v>92</v>
      </c>
      <c r="I22" s="1" t="s">
        <v>93</v>
      </c>
      <c r="J22" s="1" t="s">
        <v>27</v>
      </c>
    </row>
    <row r="23" spans="1:11" ht="87" x14ac:dyDescent="0.3">
      <c r="A23" s="3">
        <v>44424.886681342592</v>
      </c>
      <c r="B23" s="3"/>
      <c r="C23" s="1" t="s">
        <v>18</v>
      </c>
      <c r="D23" s="1" t="s">
        <v>11</v>
      </c>
      <c r="E23" s="1" t="s">
        <v>41</v>
      </c>
      <c r="F23" s="1" t="s">
        <v>13</v>
      </c>
      <c r="G23" s="1" t="s">
        <v>20</v>
      </c>
      <c r="H23" s="1" t="s">
        <v>94</v>
      </c>
      <c r="I23" s="1" t="s">
        <v>95</v>
      </c>
      <c r="J23" s="1" t="s">
        <v>23</v>
      </c>
      <c r="K23" s="1" t="s">
        <v>96</v>
      </c>
    </row>
    <row r="24" spans="1:11" ht="62.15" x14ac:dyDescent="0.3">
      <c r="A24" s="3">
        <v>44425.570335613425</v>
      </c>
      <c r="B24" s="3"/>
      <c r="C24" s="1" t="s">
        <v>81</v>
      </c>
      <c r="D24" s="1" t="s">
        <v>11</v>
      </c>
      <c r="E24" s="1" t="s">
        <v>97</v>
      </c>
      <c r="F24" s="1" t="s">
        <v>13</v>
      </c>
      <c r="G24" s="1" t="s">
        <v>20</v>
      </c>
      <c r="H24" s="1" t="s">
        <v>98</v>
      </c>
      <c r="I24" s="1" t="s">
        <v>99</v>
      </c>
      <c r="J24" s="1" t="s">
        <v>27</v>
      </c>
    </row>
    <row r="25" spans="1:11" ht="24.9" x14ac:dyDescent="0.3">
      <c r="A25" s="3">
        <v>44425.776414270833</v>
      </c>
      <c r="B25" s="3"/>
      <c r="C25" s="1" t="s">
        <v>30</v>
      </c>
      <c r="D25" s="1" t="s">
        <v>11</v>
      </c>
      <c r="E25" s="1" t="s">
        <v>19</v>
      </c>
      <c r="F25" s="1" t="s">
        <v>13</v>
      </c>
      <c r="G25" s="1" t="s">
        <v>20</v>
      </c>
      <c r="H25" s="1" t="s">
        <v>100</v>
      </c>
      <c r="I25" s="1" t="s">
        <v>101</v>
      </c>
      <c r="J25" s="1" t="s">
        <v>27</v>
      </c>
    </row>
    <row r="26" spans="1:11" ht="37.299999999999997" x14ac:dyDescent="0.3">
      <c r="A26" s="3">
        <v>44425.819317488422</v>
      </c>
      <c r="B26" s="3"/>
      <c r="C26" s="1" t="s">
        <v>102</v>
      </c>
      <c r="D26" s="1" t="s">
        <v>11</v>
      </c>
      <c r="E26" s="1" t="s">
        <v>19</v>
      </c>
      <c r="F26" s="1" t="s">
        <v>13</v>
      </c>
      <c r="G26" s="1" t="s">
        <v>20</v>
      </c>
      <c r="H26" s="1" t="s">
        <v>103</v>
      </c>
      <c r="I26" s="1" t="s">
        <v>104</v>
      </c>
      <c r="J26" s="1" t="s">
        <v>27</v>
      </c>
    </row>
    <row r="27" spans="1:11" ht="37.299999999999997" x14ac:dyDescent="0.3">
      <c r="A27" s="3">
        <v>44426.446092048616</v>
      </c>
      <c r="B27" s="3"/>
      <c r="C27" s="1" t="s">
        <v>30</v>
      </c>
      <c r="D27" s="1" t="s">
        <v>11</v>
      </c>
      <c r="E27" s="1" t="s">
        <v>19</v>
      </c>
      <c r="F27" s="1" t="s">
        <v>13</v>
      </c>
      <c r="G27" s="1" t="s">
        <v>20</v>
      </c>
      <c r="H27" s="1" t="s">
        <v>105</v>
      </c>
      <c r="I27" s="1" t="s">
        <v>106</v>
      </c>
      <c r="J27" s="1" t="s">
        <v>23</v>
      </c>
      <c r="K27" s="1" t="s">
        <v>107</v>
      </c>
    </row>
    <row r="28" spans="1:11" ht="37.299999999999997" x14ac:dyDescent="0.3">
      <c r="A28" s="3">
        <v>44426.513084849532</v>
      </c>
      <c r="B28" s="3"/>
      <c r="C28" s="1" t="s">
        <v>30</v>
      </c>
      <c r="D28" s="1" t="s">
        <v>11</v>
      </c>
      <c r="E28" s="1" t="s">
        <v>19</v>
      </c>
      <c r="F28" s="1" t="s">
        <v>50</v>
      </c>
      <c r="G28" s="1" t="s">
        <v>14</v>
      </c>
      <c r="J28" s="1" t="s">
        <v>39</v>
      </c>
    </row>
    <row r="29" spans="1:11" ht="161.6" x14ac:dyDescent="0.3">
      <c r="A29" s="3">
        <v>44426.788545243056</v>
      </c>
      <c r="B29" s="3"/>
      <c r="C29" s="1" t="s">
        <v>108</v>
      </c>
      <c r="D29" s="1" t="s">
        <v>109</v>
      </c>
      <c r="E29" s="1" t="s">
        <v>110</v>
      </c>
      <c r="F29" s="1" t="s">
        <v>13</v>
      </c>
      <c r="G29" s="1" t="s">
        <v>20</v>
      </c>
      <c r="H29" s="1" t="s">
        <v>111</v>
      </c>
      <c r="I29" s="1" t="s">
        <v>112</v>
      </c>
      <c r="J29" s="1" t="s">
        <v>23</v>
      </c>
      <c r="K29" s="1" t="s">
        <v>113</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2"/>
  <sheetViews>
    <sheetView tabSelected="1" zoomScale="85" zoomScaleNormal="85" workbookViewId="0">
      <selection activeCell="M6" sqref="M6"/>
    </sheetView>
  </sheetViews>
  <sheetFormatPr defaultRowHeight="11.6" x14ac:dyDescent="0.3"/>
  <cols>
    <col min="1" max="1" width="28.3046875" style="5" customWidth="1"/>
    <col min="2" max="2" width="9.23046875" style="5"/>
    <col min="3" max="3" width="10.84375" style="5" bestFit="1" customWidth="1"/>
    <col min="4" max="16384" width="9.23046875" style="5"/>
  </cols>
  <sheetData>
    <row r="1" spans="1:3" ht="23.15" customHeight="1" x14ac:dyDescent="0.3">
      <c r="B1" s="5" t="s">
        <v>1</v>
      </c>
      <c r="C1" s="5">
        <v>28</v>
      </c>
    </row>
    <row r="2" spans="1:3" x14ac:dyDescent="0.3">
      <c r="A2" s="5" t="s">
        <v>30</v>
      </c>
      <c r="B2" s="5">
        <v>11</v>
      </c>
      <c r="C2" s="6">
        <f>B2/$C$1</f>
        <v>0.39285714285714285</v>
      </c>
    </row>
    <row r="3" spans="1:3" x14ac:dyDescent="0.3">
      <c r="A3" s="5" t="s">
        <v>18</v>
      </c>
      <c r="B3" s="5">
        <v>7</v>
      </c>
      <c r="C3" s="6">
        <f t="shared" ref="C3:C6" si="0">B3/$C$1</f>
        <v>0.25</v>
      </c>
    </row>
    <row r="4" spans="1:3" x14ac:dyDescent="0.3">
      <c r="A4" s="5" t="s">
        <v>81</v>
      </c>
      <c r="B4" s="5">
        <v>2</v>
      </c>
      <c r="C4" s="6">
        <f t="shared" si="0"/>
        <v>7.1428571428571425E-2</v>
      </c>
    </row>
    <row r="5" spans="1:3" x14ac:dyDescent="0.3">
      <c r="A5" s="5" t="s">
        <v>36</v>
      </c>
      <c r="B5" s="5">
        <v>2</v>
      </c>
      <c r="C5" s="6">
        <f t="shared" si="0"/>
        <v>7.1428571428571425E-2</v>
      </c>
    </row>
    <row r="6" spans="1:3" ht="12.45" x14ac:dyDescent="0.3">
      <c r="A6" s="5" t="s">
        <v>151</v>
      </c>
      <c r="B6" s="5">
        <v>6</v>
      </c>
      <c r="C6" s="6">
        <f t="shared" si="0"/>
        <v>0.21428571428571427</v>
      </c>
    </row>
    <row r="7" spans="1:3" ht="37.299999999999997" x14ac:dyDescent="0.3">
      <c r="A7" s="5" t="s">
        <v>152</v>
      </c>
      <c r="B7" s="5" t="s">
        <v>118</v>
      </c>
    </row>
    <row r="8" spans="1:3" x14ac:dyDescent="0.3">
      <c r="A8" s="5" t="s">
        <v>53</v>
      </c>
      <c r="B8" s="5" t="s">
        <v>117</v>
      </c>
    </row>
    <row r="9" spans="1:3" x14ac:dyDescent="0.3">
      <c r="A9" s="5" t="s">
        <v>48</v>
      </c>
      <c r="B9" s="5" t="s">
        <v>116</v>
      </c>
    </row>
    <row r="10" spans="1:3" x14ac:dyDescent="0.3">
      <c r="A10" s="5" t="s">
        <v>102</v>
      </c>
      <c r="B10" s="5" t="s">
        <v>119</v>
      </c>
    </row>
    <row r="11" spans="1:3" ht="23.15" x14ac:dyDescent="0.3">
      <c r="A11" s="5" t="s">
        <v>120</v>
      </c>
      <c r="B11" s="5" t="s">
        <v>121</v>
      </c>
    </row>
    <row r="12" spans="1:3" ht="23.15" x14ac:dyDescent="0.3">
      <c r="A12" s="5" t="s">
        <v>10</v>
      </c>
      <c r="B12" s="5" t="s">
        <v>122</v>
      </c>
    </row>
    <row r="16" spans="1:3" ht="127.3" x14ac:dyDescent="0.3">
      <c r="B16" s="5" t="s">
        <v>153</v>
      </c>
      <c r="C16" s="5" t="s">
        <v>153</v>
      </c>
    </row>
    <row r="17" spans="1:3" x14ac:dyDescent="0.3">
      <c r="A17" s="5" t="s">
        <v>11</v>
      </c>
      <c r="B17" s="5">
        <v>23</v>
      </c>
      <c r="C17" s="6">
        <f>B17/$C$1</f>
        <v>0.8214285714285714</v>
      </c>
    </row>
    <row r="18" spans="1:3" x14ac:dyDescent="0.3">
      <c r="A18" s="5" t="s">
        <v>77</v>
      </c>
      <c r="B18" s="5">
        <v>2</v>
      </c>
      <c r="C18" s="6">
        <f t="shared" ref="C18:C20" si="1">B18/$C$1</f>
        <v>7.1428571428571425E-2</v>
      </c>
    </row>
    <row r="19" spans="1:3" x14ac:dyDescent="0.3">
      <c r="A19" s="5" t="s">
        <v>49</v>
      </c>
      <c r="B19" s="5">
        <v>1</v>
      </c>
      <c r="C19" s="6">
        <f t="shared" si="1"/>
        <v>3.5714285714285712E-2</v>
      </c>
    </row>
    <row r="20" spans="1:3" ht="12.45" x14ac:dyDescent="0.3">
      <c r="A20" s="5" t="s">
        <v>151</v>
      </c>
      <c r="B20" s="5">
        <v>2</v>
      </c>
      <c r="C20" s="6">
        <f t="shared" si="1"/>
        <v>7.1428571428571425E-2</v>
      </c>
    </row>
    <row r="21" spans="1:3" x14ac:dyDescent="0.3">
      <c r="A21" s="5" t="s">
        <v>109</v>
      </c>
      <c r="B21" s="5" t="s">
        <v>121</v>
      </c>
    </row>
    <row r="22" spans="1:3" x14ac:dyDescent="0.3">
      <c r="A22" s="5" t="s">
        <v>44</v>
      </c>
      <c r="B22" s="5" t="s">
        <v>147</v>
      </c>
    </row>
    <row r="26" spans="1:3" ht="115.75" x14ac:dyDescent="0.3">
      <c r="B26" s="5" t="s">
        <v>3</v>
      </c>
    </row>
    <row r="27" spans="1:3" x14ac:dyDescent="0.3">
      <c r="A27" s="5" t="s">
        <v>41</v>
      </c>
      <c r="B27" s="6">
        <f>C27/$C$1</f>
        <v>0.42857142857142855</v>
      </c>
      <c r="C27" s="5">
        <v>12</v>
      </c>
    </row>
    <row r="28" spans="1:3" x14ac:dyDescent="0.3">
      <c r="A28" s="5" t="s">
        <v>19</v>
      </c>
      <c r="B28" s="6">
        <f>C28/$C$1</f>
        <v>0.35714285714285715</v>
      </c>
      <c r="C28" s="5">
        <v>10</v>
      </c>
    </row>
    <row r="29" spans="1:3" ht="12.45" x14ac:dyDescent="0.3">
      <c r="A29" s="5" t="s">
        <v>151</v>
      </c>
      <c r="B29" s="6">
        <f>C29/$C$1</f>
        <v>0.21428571428571427</v>
      </c>
      <c r="C29" s="5">
        <v>6</v>
      </c>
    </row>
    <row r="30" spans="1:3" x14ac:dyDescent="0.3">
      <c r="A30" s="5" t="s">
        <v>123</v>
      </c>
      <c r="B30" s="5">
        <v>0</v>
      </c>
    </row>
    <row r="32" spans="1:3" x14ac:dyDescent="0.3">
      <c r="A32" s="5" t="s">
        <v>63</v>
      </c>
      <c r="B32" s="5" t="s">
        <v>124</v>
      </c>
    </row>
    <row r="33" spans="1:3" x14ac:dyDescent="0.3">
      <c r="A33" s="5" t="s">
        <v>12</v>
      </c>
      <c r="B33" s="5" t="s">
        <v>148</v>
      </c>
    </row>
    <row r="34" spans="1:3" ht="46.3" x14ac:dyDescent="0.3">
      <c r="A34" s="5" t="s">
        <v>31</v>
      </c>
      <c r="B34" s="5" t="s">
        <v>125</v>
      </c>
    </row>
    <row r="35" spans="1:3" ht="23.15" x14ac:dyDescent="0.3">
      <c r="A35" s="5" t="s">
        <v>97</v>
      </c>
      <c r="B35" s="5" t="s">
        <v>126</v>
      </c>
    </row>
    <row r="36" spans="1:3" ht="34.75" x14ac:dyDescent="0.3">
      <c r="A36" s="5" t="s">
        <v>110</v>
      </c>
      <c r="B36" s="5" t="s">
        <v>121</v>
      </c>
    </row>
    <row r="37" spans="1:3" x14ac:dyDescent="0.3">
      <c r="A37" s="5" t="s">
        <v>78</v>
      </c>
      <c r="B37" s="5" t="s">
        <v>118</v>
      </c>
    </row>
    <row r="41" spans="1:3" x14ac:dyDescent="0.3">
      <c r="A41" s="5" t="s">
        <v>168</v>
      </c>
      <c r="B41" s="5">
        <v>0</v>
      </c>
    </row>
    <row r="43" spans="1:3" ht="69.45" x14ac:dyDescent="0.3">
      <c r="B43" s="5" t="s">
        <v>167</v>
      </c>
    </row>
    <row r="44" spans="1:3" x14ac:dyDescent="0.3">
      <c r="A44" s="5" t="s">
        <v>13</v>
      </c>
      <c r="B44" s="6">
        <f>C44/$C$1</f>
        <v>0.7857142857142857</v>
      </c>
      <c r="C44" s="5">
        <v>22</v>
      </c>
    </row>
    <row r="45" spans="1:3" x14ac:dyDescent="0.3">
      <c r="A45" s="5" t="s">
        <v>50</v>
      </c>
      <c r="B45" s="6">
        <f>C45/$C$1</f>
        <v>7.1428571428571425E-2</v>
      </c>
      <c r="C45" s="5">
        <v>2</v>
      </c>
    </row>
    <row r="46" spans="1:3" ht="12.45" x14ac:dyDescent="0.3">
      <c r="A46" s="5" t="s">
        <v>151</v>
      </c>
      <c r="B46" s="6">
        <f>C46/$C$1</f>
        <v>0.14285714285714285</v>
      </c>
      <c r="C46" s="5">
        <v>4</v>
      </c>
    </row>
    <row r="47" spans="1:3" x14ac:dyDescent="0.3">
      <c r="A47" s="5" t="s">
        <v>68</v>
      </c>
      <c r="B47" s="5" t="s">
        <v>127</v>
      </c>
    </row>
    <row r="48" spans="1:3" ht="23.15" x14ac:dyDescent="0.3">
      <c r="A48" s="5" t="s">
        <v>72</v>
      </c>
      <c r="B48" s="5" t="s">
        <v>149</v>
      </c>
    </row>
    <row r="49" spans="1:3" x14ac:dyDescent="0.3">
      <c r="A49" s="5" t="s">
        <v>128</v>
      </c>
      <c r="B49" s="5" t="s">
        <v>129</v>
      </c>
    </row>
    <row r="50" spans="1:3" ht="23.15" x14ac:dyDescent="0.3">
      <c r="A50" s="5" t="s">
        <v>54</v>
      </c>
      <c r="B50" s="5" t="s">
        <v>117</v>
      </c>
    </row>
    <row r="53" spans="1:3" ht="34.75" x14ac:dyDescent="0.3">
      <c r="B53" s="5" t="s">
        <v>169</v>
      </c>
    </row>
    <row r="54" spans="1:3" x14ac:dyDescent="0.3">
      <c r="A54" s="5" t="s">
        <v>20</v>
      </c>
      <c r="B54" s="6">
        <f>C54/$C$1</f>
        <v>0.6785714285714286</v>
      </c>
      <c r="C54" s="5">
        <v>19</v>
      </c>
    </row>
    <row r="55" spans="1:3" ht="23.15" x14ac:dyDescent="0.3">
      <c r="A55" s="5" t="s">
        <v>14</v>
      </c>
      <c r="B55" s="6">
        <f>C55/$C$1</f>
        <v>0.17857142857142858</v>
      </c>
      <c r="C55" s="5">
        <v>5</v>
      </c>
    </row>
    <row r="56" spans="1:3" x14ac:dyDescent="0.3">
      <c r="A56" s="5" t="s">
        <v>115</v>
      </c>
      <c r="B56" s="6">
        <f>C56/$C$1</f>
        <v>0.14285714285714285</v>
      </c>
      <c r="C56" s="5">
        <v>4</v>
      </c>
    </row>
    <row r="58" spans="1:3" x14ac:dyDescent="0.3">
      <c r="A58" s="5" t="s">
        <v>171</v>
      </c>
      <c r="C58" s="5">
        <v>0</v>
      </c>
    </row>
    <row r="59" spans="1:3" x14ac:dyDescent="0.3">
      <c r="A59" s="5" t="s">
        <v>170</v>
      </c>
      <c r="C59" s="5">
        <v>0</v>
      </c>
    </row>
    <row r="60" spans="1:3" x14ac:dyDescent="0.3">
      <c r="A60" s="5" t="s">
        <v>85</v>
      </c>
      <c r="B60" s="5" t="s">
        <v>130</v>
      </c>
    </row>
    <row r="61" spans="1:3" x14ac:dyDescent="0.3">
      <c r="A61" s="5" t="s">
        <v>73</v>
      </c>
      <c r="B61" s="5" t="s">
        <v>131</v>
      </c>
    </row>
    <row r="62" spans="1:3" ht="23.15" x14ac:dyDescent="0.3">
      <c r="A62" s="5" t="s">
        <v>64</v>
      </c>
      <c r="B62" s="5" t="s">
        <v>124</v>
      </c>
    </row>
    <row r="63" spans="1:3" x14ac:dyDescent="0.3">
      <c r="A63" s="5" t="s">
        <v>32</v>
      </c>
      <c r="B63" s="5" t="s">
        <v>125</v>
      </c>
    </row>
    <row r="66" spans="1:5" ht="46.3" x14ac:dyDescent="0.3">
      <c r="A66" s="5" t="s">
        <v>6</v>
      </c>
      <c r="D66" s="5" t="s">
        <v>8</v>
      </c>
      <c r="E66" s="5" t="s">
        <v>7</v>
      </c>
    </row>
    <row r="68" spans="1:5" ht="23.15" x14ac:dyDescent="0.3">
      <c r="A68" s="5" t="s">
        <v>15</v>
      </c>
      <c r="B68" s="5" t="s">
        <v>122</v>
      </c>
      <c r="D68" s="5" t="s">
        <v>154</v>
      </c>
    </row>
    <row r="69" spans="1:5" ht="231.45" x14ac:dyDescent="0.3">
      <c r="A69" s="5" t="s">
        <v>56</v>
      </c>
      <c r="B69" s="5" t="s">
        <v>134</v>
      </c>
      <c r="C69" s="5" t="s">
        <v>58</v>
      </c>
      <c r="D69" s="5" t="s">
        <v>155</v>
      </c>
      <c r="E69" s="5" t="s">
        <v>57</v>
      </c>
    </row>
    <row r="70" spans="1:5" ht="92.6" x14ac:dyDescent="0.3">
      <c r="A70" s="5" t="s">
        <v>60</v>
      </c>
      <c r="B70" s="5" t="s">
        <v>129</v>
      </c>
      <c r="C70" s="5" t="s">
        <v>62</v>
      </c>
      <c r="D70" s="5" t="s">
        <v>145</v>
      </c>
      <c r="E70" s="5" t="s">
        <v>61</v>
      </c>
    </row>
    <row r="71" spans="1:5" ht="34.75" x14ac:dyDescent="0.3">
      <c r="A71" s="5" t="s">
        <v>65</v>
      </c>
      <c r="B71" s="5" t="s">
        <v>124</v>
      </c>
      <c r="C71" s="5" t="s">
        <v>67</v>
      </c>
      <c r="D71" s="5" t="s">
        <v>156</v>
      </c>
      <c r="E71" s="5" t="s">
        <v>66</v>
      </c>
    </row>
    <row r="72" spans="1:5" ht="34.75" x14ac:dyDescent="0.3">
      <c r="A72" s="5" t="s">
        <v>69</v>
      </c>
      <c r="B72" s="5" t="s">
        <v>127</v>
      </c>
      <c r="C72" s="5" t="s">
        <v>71</v>
      </c>
      <c r="D72" s="5" t="s">
        <v>157</v>
      </c>
      <c r="E72" s="5" t="s">
        <v>70</v>
      </c>
    </row>
    <row r="73" spans="1:5" ht="57.9" x14ac:dyDescent="0.3">
      <c r="A73" s="5" t="s">
        <v>74</v>
      </c>
      <c r="B73" s="5" t="s">
        <v>131</v>
      </c>
      <c r="D73" s="5" t="s">
        <v>157</v>
      </c>
      <c r="E73" s="5" t="s">
        <v>75</v>
      </c>
    </row>
    <row r="74" spans="1:5" ht="150.44999999999999" x14ac:dyDescent="0.3">
      <c r="A74" s="5" t="s">
        <v>79</v>
      </c>
      <c r="B74" s="5" t="s">
        <v>118</v>
      </c>
      <c r="D74" s="5" t="s">
        <v>157</v>
      </c>
      <c r="E74" s="5" t="s">
        <v>80</v>
      </c>
    </row>
    <row r="75" spans="1:5" ht="23.15" x14ac:dyDescent="0.3">
      <c r="A75" s="5" t="s">
        <v>82</v>
      </c>
      <c r="B75" s="5" t="s">
        <v>132</v>
      </c>
      <c r="C75" s="5" t="s">
        <v>84</v>
      </c>
      <c r="D75" s="5" t="s">
        <v>158</v>
      </c>
      <c r="E75" s="5" t="s">
        <v>83</v>
      </c>
    </row>
    <row r="76" spans="1:5" ht="46.3" x14ac:dyDescent="0.3">
      <c r="A76" s="5" t="s">
        <v>86</v>
      </c>
      <c r="B76" s="5" t="s">
        <v>130</v>
      </c>
      <c r="C76" s="5" t="s">
        <v>88</v>
      </c>
      <c r="D76" s="5" t="s">
        <v>145</v>
      </c>
      <c r="E76" s="5" t="s">
        <v>87</v>
      </c>
    </row>
    <row r="77" spans="1:5" ht="185.15" x14ac:dyDescent="0.3">
      <c r="A77" s="5" t="s">
        <v>89</v>
      </c>
      <c r="B77" s="5" t="s">
        <v>139</v>
      </c>
      <c r="C77" s="5" t="s">
        <v>91</v>
      </c>
      <c r="D77" s="5" t="s">
        <v>145</v>
      </c>
      <c r="E77" s="5" t="s">
        <v>90</v>
      </c>
    </row>
    <row r="78" spans="1:5" ht="12.45" x14ac:dyDescent="0.3">
      <c r="A78" s="5" t="s">
        <v>21</v>
      </c>
      <c r="B78" s="5" t="s">
        <v>141</v>
      </c>
      <c r="C78" s="5" t="s">
        <v>24</v>
      </c>
      <c r="D78" s="5" t="s">
        <v>159</v>
      </c>
      <c r="E78" s="5" t="s">
        <v>22</v>
      </c>
    </row>
    <row r="79" spans="1:5" ht="300.89999999999998" x14ac:dyDescent="0.3">
      <c r="A79" s="5" t="s">
        <v>92</v>
      </c>
      <c r="B79" s="5" t="s">
        <v>133</v>
      </c>
      <c r="D79" s="5" t="s">
        <v>160</v>
      </c>
      <c r="E79" s="5" t="s">
        <v>144</v>
      </c>
    </row>
    <row r="80" spans="1:5" ht="57.9" x14ac:dyDescent="0.3">
      <c r="A80" s="5" t="s">
        <v>94</v>
      </c>
      <c r="B80" s="5" t="s">
        <v>150</v>
      </c>
      <c r="C80" s="5" t="s">
        <v>96</v>
      </c>
      <c r="D80" s="5" t="s">
        <v>145</v>
      </c>
      <c r="E80" s="5" t="s">
        <v>95</v>
      </c>
    </row>
    <row r="81" spans="1:5" ht="69.45" x14ac:dyDescent="0.3">
      <c r="A81" s="5" t="s">
        <v>98</v>
      </c>
      <c r="B81" s="5" t="s">
        <v>126</v>
      </c>
      <c r="D81" s="5" t="s">
        <v>161</v>
      </c>
      <c r="E81" s="5" t="s">
        <v>99</v>
      </c>
    </row>
    <row r="82" spans="1:5" ht="12.45" x14ac:dyDescent="0.3">
      <c r="A82" s="5" t="s">
        <v>100</v>
      </c>
      <c r="B82" s="5" t="s">
        <v>143</v>
      </c>
      <c r="D82" s="5" t="s">
        <v>162</v>
      </c>
      <c r="E82" s="5" t="s">
        <v>101</v>
      </c>
    </row>
    <row r="83" spans="1:5" ht="34.75" x14ac:dyDescent="0.3">
      <c r="A83" s="5" t="s">
        <v>103</v>
      </c>
      <c r="B83" s="5" t="s">
        <v>119</v>
      </c>
      <c r="D83" s="5" t="s">
        <v>163</v>
      </c>
      <c r="E83" s="5" t="s">
        <v>104</v>
      </c>
    </row>
    <row r="84" spans="1:5" ht="46.3" x14ac:dyDescent="0.3">
      <c r="A84" s="5" t="s">
        <v>105</v>
      </c>
      <c r="B84" s="5" t="s">
        <v>140</v>
      </c>
      <c r="C84" s="5" t="s">
        <v>107</v>
      </c>
      <c r="D84" s="5" t="s">
        <v>145</v>
      </c>
      <c r="E84" s="5" t="s">
        <v>106</v>
      </c>
    </row>
    <row r="85" spans="1:5" ht="185.15" x14ac:dyDescent="0.3">
      <c r="A85" s="5" t="s">
        <v>111</v>
      </c>
      <c r="B85" s="5" t="s">
        <v>121</v>
      </c>
      <c r="C85" s="5" t="s">
        <v>113</v>
      </c>
      <c r="D85" s="5" t="s">
        <v>145</v>
      </c>
      <c r="E85" s="5" t="s">
        <v>112</v>
      </c>
    </row>
    <row r="86" spans="1:5" ht="57.9" x14ac:dyDescent="0.3">
      <c r="A86" s="5" t="s">
        <v>25</v>
      </c>
      <c r="B86" s="5" t="s">
        <v>135</v>
      </c>
      <c r="D86" s="5" t="s">
        <v>164</v>
      </c>
      <c r="E86" s="5" t="s">
        <v>26</v>
      </c>
    </row>
    <row r="87" spans="1:5" ht="34.75" x14ac:dyDescent="0.3">
      <c r="A87" s="5" t="s">
        <v>28</v>
      </c>
      <c r="B87" s="5" t="s">
        <v>138</v>
      </c>
      <c r="D87" s="5" t="s">
        <v>164</v>
      </c>
      <c r="E87" s="5" t="s">
        <v>29</v>
      </c>
    </row>
    <row r="88" spans="1:5" ht="127.3" x14ac:dyDescent="0.3">
      <c r="A88" s="5" t="s">
        <v>33</v>
      </c>
      <c r="B88" s="5" t="s">
        <v>125</v>
      </c>
      <c r="C88" s="5" t="s">
        <v>35</v>
      </c>
      <c r="D88" s="5" t="s">
        <v>165</v>
      </c>
      <c r="E88" s="5" t="s">
        <v>34</v>
      </c>
    </row>
    <row r="89" spans="1:5" ht="34.75" x14ac:dyDescent="0.3">
      <c r="A89" s="5" t="s">
        <v>37</v>
      </c>
      <c r="B89" s="5" t="s">
        <v>136</v>
      </c>
      <c r="C89" s="5" t="s">
        <v>40</v>
      </c>
      <c r="D89" s="5" t="s">
        <v>146</v>
      </c>
      <c r="E89" s="5" t="s">
        <v>38</v>
      </c>
    </row>
    <row r="90" spans="1:5" ht="104.15" x14ac:dyDescent="0.3">
      <c r="A90" s="5" t="s">
        <v>42</v>
      </c>
      <c r="B90" s="5" t="s">
        <v>137</v>
      </c>
      <c r="D90" s="5" t="s">
        <v>166</v>
      </c>
      <c r="E90" s="5" t="s">
        <v>43</v>
      </c>
    </row>
    <row r="91" spans="1:5" ht="57.9" x14ac:dyDescent="0.3">
      <c r="A91" s="5" t="s">
        <v>45</v>
      </c>
      <c r="B91" s="5" t="s">
        <v>142</v>
      </c>
      <c r="C91" s="5" t="s">
        <v>47</v>
      </c>
      <c r="D91" s="5" t="s">
        <v>146</v>
      </c>
      <c r="E91" s="5" t="s">
        <v>46</v>
      </c>
    </row>
    <row r="92" spans="1:5" ht="34.75" x14ac:dyDescent="0.3">
      <c r="A92" s="5" t="s">
        <v>51</v>
      </c>
      <c r="B92" s="5" t="s">
        <v>116</v>
      </c>
      <c r="D92" s="5" t="s">
        <v>146</v>
      </c>
      <c r="E92" s="5" t="s">
        <v>52</v>
      </c>
    </row>
  </sheetData>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表單回應 1</vt:lpstr>
      <vt:lpstr>工作表1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cp:lastModifiedBy>
  <dcterms:modified xsi:type="dcterms:W3CDTF">2021-08-18T12:52:24Z</dcterms:modified>
</cp:coreProperties>
</file>